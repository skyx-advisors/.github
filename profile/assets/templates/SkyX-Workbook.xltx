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Data" sheetId="2" state="visible" r:id="rId2"/>
    <sheet xmlns:r="http://schemas.openxmlformats.org/officeDocument/2006/relationships" name="Summary" sheetId="3" state="visible" r:id="rId3"/>
  </sheets>
  <definedNames>
    <definedName name="_xlnm.Print_Area" localSheetId="0">'Cover'!$A$1:$L$30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 mmm yyyy"/>
    <numFmt numFmtId="166" formatCode="$#,##0"/>
  </numFmts>
  <fonts count="12">
    <font>
      <name val="Calibri"/>
      <family val="2"/>
      <color theme="1"/>
      <sz val="11"/>
      <scheme val="minor"/>
    </font>
    <font>
      <name val="Playfair Display"/>
      <color rgb="00F2EDE5"/>
      <sz val="24"/>
    </font>
    <font>
      <name val="Calibri"/>
      <color rgb="00F2EDE5"/>
      <sz val="11"/>
    </font>
    <font>
      <name val="Calibri"/>
      <b val="1"/>
      <color rgb="003C4A56"/>
      <sz val="10"/>
    </font>
    <font>
      <name val="Calibri"/>
      <color rgb="00070F16"/>
      <sz val="11"/>
    </font>
    <font>
      <name val="Calibri"/>
      <color rgb="003C4A56"/>
      <sz val="9"/>
    </font>
    <font>
      <name val="Calibri"/>
      <b val="1"/>
      <color rgb="00F2EDE5"/>
      <sz val="11"/>
    </font>
    <font>
      <name val="Calibri"/>
      <color rgb="003C4A56"/>
      <sz val="11"/>
    </font>
    <font>
      <name val="Calibri"/>
      <b val="1"/>
      <color rgb="00070F16"/>
      <sz val="11"/>
    </font>
    <font>
      <name val="Playfair Display"/>
      <color rgb="00070F16"/>
      <sz val="18"/>
    </font>
    <font>
      <name val="Calibri"/>
      <color rgb="003C4A56"/>
      <sz val="10"/>
    </font>
    <font>
      <name val="Playfair Display"/>
      <color rgb="00C2A05E"/>
      <sz val="28"/>
    </font>
  </fonts>
  <fills count="4">
    <fill>
      <patternFill/>
    </fill>
    <fill>
      <patternFill patternType="gray125"/>
    </fill>
    <fill>
      <patternFill patternType="solid">
        <fgColor rgb="00070F16"/>
        <bgColor rgb="00070F16"/>
      </patternFill>
    </fill>
    <fill>
      <patternFill patternType="solid">
        <fgColor rgb="00F2EDE5"/>
        <bgColor rgb="00F2EDE5"/>
      </patternFill>
    </fill>
  </fills>
  <borders count="4">
    <border>
      <left/>
      <right/>
      <top/>
      <bottom/>
      <diagonal/>
    </border>
    <border>
      <left style="thin">
        <color rgb="00D8D2C6"/>
      </left>
      <right style="thin">
        <color rgb="00D8D2C6"/>
      </right>
      <top style="thin">
        <color rgb="00D8D2C6"/>
      </top>
      <bottom style="thin">
        <color rgb="00D8D2C6"/>
      </bottom>
    </border>
    <border>
      <top style="thin">
        <color rgb="00070F16"/>
      </top>
    </border>
    <border>
      <bottom style="thin">
        <color rgb="00D8D2C6"/>
      </bottom>
    </border>
  </borders>
  <cellStyleXfs count="1">
    <xf numFmtId="0" fontId="0" fillId="0" borderId="0"/>
  </cellStyleXfs>
  <cellXfs count="25">
    <xf numFmtId="0" fontId="0" fillId="0" borderId="0" pivotButton="0" quotePrefix="0" xfId="0"/>
    <xf numFmtId="0" fontId="0" fillId="2" borderId="0" pivotButton="0" quotePrefix="0" xfId="0"/>
    <xf numFmtId="0" fontId="1" fillId="2" borderId="0" applyAlignment="1" pivotButton="0" quotePrefix="0" xfId="0">
      <alignment vertical="center"/>
    </xf>
    <xf numFmtId="0" fontId="2" fillId="2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2" borderId="1" applyAlignment="1" pivotButton="0" quotePrefix="0" xfId="0">
      <alignment vertical="center"/>
    </xf>
    <xf numFmtId="0" fontId="7" fillId="0" borderId="1" pivotButton="0" quotePrefix="0" xfId="0"/>
    <xf numFmtId="165" fontId="7" fillId="0" borderId="1" pivotButton="0" quotePrefix="0" xfId="0"/>
    <xf numFmtId="166" fontId="7" fillId="0" borderId="1" pivotButton="0" quotePrefix="0" xfId="0"/>
    <xf numFmtId="0" fontId="7" fillId="3" borderId="1" pivotButton="0" quotePrefix="0" xfId="0"/>
    <xf numFmtId="165" fontId="7" fillId="3" borderId="1" pivotButton="0" quotePrefix="0" xfId="0"/>
    <xf numFmtId="166" fontId="7" fillId="3" borderId="1" pivotButton="0" quotePrefix="0" xfId="0"/>
    <xf numFmtId="0" fontId="8" fillId="0" borderId="2" pivotButton="0" quotePrefix="0" xfId="0"/>
    <xf numFmtId="0" fontId="0" fillId="0" borderId="2" pivotButton="0" quotePrefix="0" xfId="0"/>
    <xf numFmtId="166" fontId="8" fillId="0" borderId="2" pivotButton="0" quotePrefix="0" xfId="0"/>
    <xf numFmtId="0" fontId="9" fillId="0" borderId="0" pivotButton="0" quotePrefix="0" xfId="0"/>
    <xf numFmtId="0" fontId="10" fillId="0" borderId="0" pivotButton="0" quotePrefix="0" xfId="0"/>
    <xf numFmtId="166" fontId="11" fillId="0" borderId="0" applyAlignment="1" pivotButton="0" quotePrefix="0" xfId="0">
      <alignment horizontal="left" vertical="center"/>
    </xf>
    <xf numFmtId="1" fontId="11" fillId="0" borderId="0" applyAlignment="1" pivotButton="0" quotePrefix="0" xfId="0">
      <alignment horizontal="left" vertical="center"/>
    </xf>
    <xf numFmtId="0" fontId="0" fillId="0" borderId="3" pivotButton="0" quotePrefix="0" xfId="0"/>
    <xf numFmtId="0" fontId="3" fillId="0" borderId="3" pivotButton="0" quotePrefix="0" xfId="0"/>
    <xf numFmtId="0" fontId="7" fillId="0" borderId="0" pivotButton="0" quotePrefix="0" xfId="0"/>
    <xf numFmtId="166" fontId="7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style val="10"/>
  <chart>
    <plotArea>
      <barChart>
        <barDir val="col"/>
        <grouping val="clustered"/>
        <ser>
          <idx val="0"/>
          <order val="0"/>
          <tx>
            <strRef>
              <f>'Summary'!C9</f>
            </strRef>
          </tx>
          <spPr>
            <a:solidFill xmlns:a="http://schemas.openxmlformats.org/drawingml/2006/main">
              <a:srgbClr val="C2A05E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'Summary'!$B$10:$B$13</f>
            </numRef>
          </cat>
          <val>
            <numRef>
              <f>'Summary'!$C$10:$C$13</f>
            </numRef>
          </val>
        </ser>
        <gapWidth val="12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numFmt formatCode="$#,##0" sourceLinked="0"/>
        <majorTickMark val="none"/>
        <minorTickMark val="none"/>
        <crossAx val="10"/>
      </valAx>
    </plotArea>
    <plotVisOnly val="1"/>
    <dispBlanksAs val="gap"/>
  </chart>
  <spPr>
    <a:noFill xmlns:a="http://schemas.openxmlformats.org/drawingml/2006/main"/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</col>
      <colOff>0</colOff>
      <row>1</row>
      <rowOff>0</rowOff>
    </from>
    <ext cx="2190750" cy="5429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7</row>
      <rowOff>0</rowOff>
    </from>
    <ext cx="576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EngagementItems" displayName="EngagementItems" ref="A1:G9" headerRowCount="1">
  <autoFilter ref="A1:G9"/>
  <tableColumns count="7">
    <tableColumn id="1" name="Item"/>
    <tableColumn id="2" name="Category"/>
    <tableColumn id="3" name="Owner"/>
    <tableColumn id="4" name="Start"/>
    <tableColumn id="5" name="End"/>
    <tableColumn id="6" name="Cost (USD)"/>
    <tableColumn id="7" name="Status"/>
  </tableColumns>
  <tableStyleInfo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Playfair Display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L1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</cols>
  <sheetData>
    <row r="1" ht="24" customHeight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2" ht="24" customHeight="1">
      <c r="A2" s="1" t="n"/>
      <c r="B2" s="1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</row>
    <row r="3" ht="24" customHeight="1">
      <c r="A3" s="1" t="n"/>
      <c r="B3" s="1" t="n"/>
      <c r="C3" s="1" t="n"/>
      <c r="D3" s="1" t="n"/>
      <c r="E3" s="1" t="n"/>
      <c r="F3" s="2" t="inlineStr">
        <is>
          <t>Workbook title</t>
        </is>
      </c>
      <c r="G3" s="1" t="n"/>
      <c r="H3" s="1" t="n"/>
      <c r="I3" s="1" t="n"/>
      <c r="J3" s="1" t="n"/>
      <c r="K3" s="1" t="n"/>
      <c r="L3" s="1" t="n"/>
    </row>
    <row r="4" ht="24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</row>
    <row r="5" ht="24" customHeight="1">
      <c r="A5" s="1" t="n"/>
      <c r="B5" s="1" t="n"/>
      <c r="C5" s="1" t="n"/>
      <c r="D5" s="1" t="n"/>
      <c r="E5" s="1" t="n"/>
      <c r="F5" s="3" t="inlineStr">
        <is>
          <t>Prepared by Sky X Advisors · 18 October 2026</t>
        </is>
      </c>
      <c r="G5" s="1" t="n"/>
      <c r="H5" s="1" t="n"/>
      <c r="I5" s="1" t="n"/>
      <c r="J5" s="1" t="n"/>
      <c r="K5" s="1" t="n"/>
      <c r="L5" s="1" t="n"/>
    </row>
    <row r="6" ht="24" customHeight="1">
      <c r="A6" s="1" t="n"/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</row>
    <row r="9" ht="20" customHeight="1">
      <c r="B9" s="4" t="inlineStr">
        <is>
          <t>Client</t>
        </is>
      </c>
      <c r="D9" s="5" t="inlineStr">
        <is>
          <t>Client name</t>
        </is>
      </c>
    </row>
    <row r="10" ht="20" customHeight="1">
      <c r="B10" s="4" t="inlineStr">
        <is>
          <t>Engagement</t>
        </is>
      </c>
      <c r="D10" s="5" t="inlineStr">
        <is>
          <t>Engagement name</t>
        </is>
      </c>
    </row>
    <row r="11" ht="20" customHeight="1">
      <c r="B11" s="4" t="inlineStr">
        <is>
          <t>Owner</t>
        </is>
      </c>
      <c r="D11" s="5" t="inlineStr">
        <is>
          <t>Owner</t>
        </is>
      </c>
    </row>
    <row r="12" ht="20" customHeight="1">
      <c r="B12" s="4" t="inlineStr">
        <is>
          <t>Version</t>
        </is>
      </c>
      <c r="D12" s="5" t="inlineStr">
        <is>
          <t>0.1</t>
        </is>
      </c>
    </row>
    <row r="13" ht="20" customHeight="1">
      <c r="B13" s="4" t="inlineStr">
        <is>
          <t>Status</t>
        </is>
      </c>
      <c r="D13" s="5" t="inlineStr">
        <is>
          <t>Draft</t>
        </is>
      </c>
    </row>
    <row r="16">
      <c r="B16" t="inlineStr">
        <is>
          <r>
            <rPr>
              <rFont val="Calibri"/>
              <color rgb="003C4A56"/>
              <sz val="11"/>
            </rPr>
            <t xml:space="preserve">Advice that builds </t>
          </r>
          <r>
            <rPr>
              <rFont val="Calibri"/>
              <i val="1"/>
              <color rgb="007A6020"/>
              <sz val="11"/>
            </rPr>
            <t>for the future.</t>
          </r>
          <r>
            <rPr>
              <rFont val="Calibri"/>
              <color rgb="003C4A56"/>
              <sz val="11"/>
            </rPr>
            <t xml:space="preserve"> Fractional CIO/CTO leadership and AI transformation.</t>
          </r>
        </is>
      </c>
    </row>
    <row r="18">
      <c r="B18" s="6" t="inlineStr">
        <is>
          <t>Sky X Advisors · skyxadvisors.com · Confidential</t>
        </is>
      </c>
    </row>
  </sheetData>
  <pageMargins left="0.5" right="0.5" top="1" bottom="1" header="0.5" footer="0.5"/>
  <pageSetup orientation="landscape" fitToHeight="0" fitToWidth="1"/>
  <headerFooter>
    <oddHeader/>
    <oddFooter>&amp;C&amp;"Calibri"&amp;9 Sky X Advisors · Confidential ·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G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4" customWidth="1" min="1" max="1"/>
    <col width="20" customWidth="1" min="2" max="2"/>
    <col width="14" customWidth="1" min="3" max="3"/>
    <col width="13" customWidth="1" min="4" max="4"/>
    <col width="13" customWidth="1" min="5" max="5"/>
    <col width="14" customWidth="1" min="6" max="6"/>
    <col width="13" customWidth="1" min="7" max="7"/>
  </cols>
  <sheetData>
    <row r="1" ht="22" customHeight="1">
      <c r="A1" s="7" t="inlineStr">
        <is>
          <t>Item</t>
        </is>
      </c>
      <c r="B1" s="7" t="inlineStr">
        <is>
          <t>Category</t>
        </is>
      </c>
      <c r="C1" s="7" t="inlineStr">
        <is>
          <t>Owner</t>
        </is>
      </c>
      <c r="D1" s="7" t="inlineStr">
        <is>
          <t>Start</t>
        </is>
      </c>
      <c r="E1" s="7" t="inlineStr">
        <is>
          <t>End</t>
        </is>
      </c>
      <c r="F1" s="7" t="inlineStr">
        <is>
          <t>Cost (USD)</t>
        </is>
      </c>
      <c r="G1" s="7" t="inlineStr">
        <is>
          <t>Status</t>
        </is>
      </c>
    </row>
    <row r="2">
      <c r="A2" s="8" t="inlineStr">
        <is>
          <t>Discovery workshops</t>
        </is>
      </c>
      <c r="B2" s="8" t="inlineStr">
        <is>
          <t>Advisory</t>
        </is>
      </c>
      <c r="C2" s="8" t="inlineStr">
        <is>
          <t>M. Lally</t>
        </is>
      </c>
      <c r="D2" s="9" t="n">
        <v>46034</v>
      </c>
      <c r="E2" s="9" t="n">
        <v>46052</v>
      </c>
      <c r="F2" s="10" t="n">
        <v>18000</v>
      </c>
      <c r="G2" s="8" t="inlineStr">
        <is>
          <t>Done</t>
        </is>
      </c>
    </row>
    <row r="3">
      <c r="A3" s="11" t="inlineStr">
        <is>
          <t>Current-state architecture review</t>
        </is>
      </c>
      <c r="B3" s="11" t="inlineStr">
        <is>
          <t>Architecture</t>
        </is>
      </c>
      <c r="C3" s="11" t="inlineStr">
        <is>
          <t>M. Lally</t>
        </is>
      </c>
      <c r="D3" s="12" t="n">
        <v>46055</v>
      </c>
      <c r="E3" s="12" t="n">
        <v>46080</v>
      </c>
      <c r="F3" s="13" t="n">
        <v>24000</v>
      </c>
      <c r="G3" s="11" t="inlineStr">
        <is>
          <t>Done</t>
        </is>
      </c>
    </row>
    <row r="4">
      <c r="A4" s="8" t="inlineStr">
        <is>
          <t>Target operating model</t>
        </is>
      </c>
      <c r="B4" s="8" t="inlineStr">
        <is>
          <t>Advisory</t>
        </is>
      </c>
      <c r="C4" s="8" t="inlineStr">
        <is>
          <t>Client lead</t>
        </is>
      </c>
      <c r="D4" s="9" t="n">
        <v>46083</v>
      </c>
      <c r="E4" s="9" t="n">
        <v>46108</v>
      </c>
      <c r="F4" s="10" t="n">
        <v>16500</v>
      </c>
      <c r="G4" s="8" t="inlineStr">
        <is>
          <t>In progress</t>
        </is>
      </c>
    </row>
    <row r="5">
      <c r="A5" s="11" t="inlineStr">
        <is>
          <t>Data platform assessment</t>
        </is>
      </c>
      <c r="B5" s="11" t="inlineStr">
        <is>
          <t>Architecture</t>
        </is>
      </c>
      <c r="C5" s="11" t="inlineStr">
        <is>
          <t>SkyX Labs</t>
        </is>
      </c>
      <c r="D5" s="12" t="n">
        <v>46090</v>
      </c>
      <c r="E5" s="12" t="n">
        <v>46122</v>
      </c>
      <c r="F5" s="13" t="n">
        <v>31000</v>
      </c>
      <c r="G5" s="11" t="inlineStr">
        <is>
          <t>In progress</t>
        </is>
      </c>
    </row>
    <row r="6">
      <c r="A6" s="8" t="inlineStr">
        <is>
          <t>AI use-case portfolio</t>
        </is>
      </c>
      <c r="B6" s="8" t="inlineStr">
        <is>
          <t>AI transformation</t>
        </is>
      </c>
      <c r="C6" s="8" t="inlineStr">
        <is>
          <t>M. Lally</t>
        </is>
      </c>
      <c r="D6" s="9" t="n">
        <v>46118</v>
      </c>
      <c r="E6" s="9" t="n">
        <v>46142</v>
      </c>
      <c r="F6" s="10" t="n">
        <v>22000</v>
      </c>
      <c r="G6" s="8" t="inlineStr">
        <is>
          <t>Open</t>
        </is>
      </c>
    </row>
    <row r="7">
      <c r="A7" s="11" t="inlineStr">
        <is>
          <t>Pilot build: intake agent</t>
        </is>
      </c>
      <c r="B7" s="11" t="inlineStr">
        <is>
          <t>AI transformation</t>
        </is>
      </c>
      <c r="C7" s="11" t="inlineStr">
        <is>
          <t>SkyX Labs</t>
        </is>
      </c>
      <c r="D7" s="12" t="n">
        <v>46146</v>
      </c>
      <c r="E7" s="12" t="n">
        <v>46199</v>
      </c>
      <c r="F7" s="13" t="n">
        <v>48000</v>
      </c>
      <c r="G7" s="11" t="inlineStr">
        <is>
          <t>Open</t>
        </is>
      </c>
    </row>
    <row r="8">
      <c r="A8" s="8" t="inlineStr">
        <is>
          <t>Security and identity hardening</t>
        </is>
      </c>
      <c r="B8" s="8" t="inlineStr">
        <is>
          <t>Security</t>
        </is>
      </c>
      <c r="C8" s="8" t="inlineStr">
        <is>
          <t>SkyX Labs</t>
        </is>
      </c>
      <c r="D8" s="9" t="n">
        <v>46160</v>
      </c>
      <c r="E8" s="9" t="n">
        <v>46185</v>
      </c>
      <c r="F8" s="10" t="n">
        <v>19500</v>
      </c>
      <c r="G8" s="8" t="inlineStr">
        <is>
          <t>Open</t>
        </is>
      </c>
    </row>
    <row r="9">
      <c r="A9" s="11" t="inlineStr">
        <is>
          <t>Board readout and roadmap</t>
        </is>
      </c>
      <c r="B9" s="11" t="inlineStr">
        <is>
          <t>Advisory</t>
        </is>
      </c>
      <c r="C9" s="11" t="inlineStr">
        <is>
          <t>M. Lally</t>
        </is>
      </c>
      <c r="D9" s="12" t="n">
        <v>46209</v>
      </c>
      <c r="E9" s="12" t="n">
        <v>46220</v>
      </c>
      <c r="F9" s="13" t="n">
        <v>9000</v>
      </c>
      <c r="G9" s="11" t="inlineStr">
        <is>
          <t>Open</t>
        </is>
      </c>
    </row>
    <row r="10">
      <c r="A10" s="14" t="inlineStr">
        <is>
          <t>Total</t>
        </is>
      </c>
      <c r="B10" s="15" t="n"/>
      <c r="C10" s="15" t="n"/>
      <c r="D10" s="15" t="n"/>
      <c r="E10" s="15" t="n"/>
      <c r="F10" s="16">
        <f>SUM(F2:F9)</f>
        <v/>
      </c>
      <c r="G10" s="15" t="n"/>
    </row>
  </sheetData>
  <pageMargins left="0.5" right="0.5" top="1" bottom="1" header="0.5" footer="0.5"/>
  <pageSetup orientation="landscape" fitToHeight="0" fitToWidth="1"/>
  <headerFooter>
    <oddHeader/>
    <oddFooter>&amp;C&amp;"Calibri"&amp;9 Sky X Advisors · Confidential · &amp;P of &amp;N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 fitToPage="1"/>
  </sheetPr>
  <dimension ref="B2:L13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13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</cols>
  <sheetData>
    <row r="2">
      <c r="B2" s="17" t="inlineStr">
        <is>
          <t>Summary</t>
        </is>
      </c>
    </row>
    <row r="4" ht="16" customHeight="1">
      <c r="B4" s="18" t="inlineStr">
        <is>
          <t>Total cost</t>
        </is>
      </c>
      <c r="F4" s="18" t="inlineStr">
        <is>
          <t>Items</t>
        </is>
      </c>
      <c r="J4" s="18" t="inlineStr">
        <is>
          <t>Open items</t>
        </is>
      </c>
    </row>
    <row r="5" ht="44" customHeight="1">
      <c r="B5" s="19">
        <f>SUM(Data!F2:F9)</f>
        <v/>
      </c>
      <c r="F5" s="20">
        <f>COUNTA(Data!A2:A9)</f>
        <v/>
      </c>
      <c r="J5" s="20">
        <f>COUNTIF(Data!G2:G9,"&lt;&gt;Done")</f>
        <v/>
      </c>
    </row>
    <row r="6">
      <c r="B6" s="21" t="n"/>
      <c r="C6" s="21" t="n"/>
      <c r="D6" s="21" t="n"/>
      <c r="F6" s="21" t="n"/>
      <c r="G6" s="21" t="n"/>
      <c r="H6" s="21" t="n"/>
      <c r="J6" s="21" t="n"/>
      <c r="K6" s="21" t="n"/>
      <c r="L6" s="21" t="n"/>
    </row>
    <row r="8">
      <c r="B8" s="4" t="inlineStr">
        <is>
          <t>Cost by category</t>
        </is>
      </c>
    </row>
    <row r="9">
      <c r="B9" s="22" t="inlineStr">
        <is>
          <t>Category</t>
        </is>
      </c>
      <c r="C9" s="22" t="inlineStr">
        <is>
          <t>Cost (USD)</t>
        </is>
      </c>
    </row>
    <row r="10">
      <c r="B10" s="23" t="inlineStr">
        <is>
          <t>Advisory</t>
        </is>
      </c>
      <c r="C10" s="24">
        <f>SUMIF(Data!$B$2:$B$9,B10,Data!$F$2:$F$9)</f>
        <v/>
      </c>
    </row>
    <row r="11">
      <c r="B11" s="23" t="inlineStr">
        <is>
          <t>Architecture</t>
        </is>
      </c>
      <c r="C11" s="24">
        <f>SUMIF(Data!$B$2:$B$9,B11,Data!$F$2:$F$9)</f>
        <v/>
      </c>
    </row>
    <row r="12">
      <c r="B12" s="23" t="inlineStr">
        <is>
          <t>AI transformation</t>
        </is>
      </c>
      <c r="C12" s="24">
        <f>SUMIF(Data!$B$2:$B$9,B12,Data!$F$2:$F$9)</f>
        <v/>
      </c>
    </row>
    <row r="13">
      <c r="B13" s="23" t="inlineStr">
        <is>
          <t>Security</t>
        </is>
      </c>
      <c r="C13" s="24">
        <f>SUMIF(Data!$B$2:$B$9,B13,Data!$F$2:$F$9)</f>
        <v/>
      </c>
    </row>
  </sheetData>
  <mergeCells count="6">
    <mergeCell ref="J5:L5"/>
    <mergeCell ref="B5:D5"/>
    <mergeCell ref="F5:H5"/>
    <mergeCell ref="B4:D4"/>
    <mergeCell ref="F4:H4"/>
    <mergeCell ref="J4:L4"/>
  </mergeCells>
  <pageMargins left="0.5" right="0.5" top="1" bottom="1" header="0.5" footer="0.5"/>
  <pageSetup orientation="landscape" fitToHeight="0" fitToWidth="1"/>
  <headerFooter>
    <oddHeader/>
    <oddFooter>&amp;C&amp;"Calibri"&amp;9 Sky X Advisors · Confidential ·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  <Company>Sky X Advisors</Company>
</Properties>
</file>

<file path=docProps/core.xml><?xml version="1.0" encoding="utf-8"?>
<cp:coreProperties xmlns:cp="http://schemas.openxmlformats.org/package/2006/metadata/core-properties">
  <dc:creator xmlns:dc="http://purl.org/dc/elements/1.1/">Sky X Advisors</dc:creator>
  <dc:title xmlns:dc="http://purl.org/dc/elements/1.1/">Sky X Advisors workbook</dc:title>
  <dcterms:created xmlns:dcterms="http://purl.org/dc/terms/" xmlns:xsi="http://www.w3.org/2001/XMLSchema-instance" xsi:type="dcterms:W3CDTF">2026-10-18T17:44:30Z</dcterms:created>
  <dcterms:modified xmlns:dcterms="http://purl.org/dc/terms/" xmlns:xsi="http://www.w3.org/2001/XMLSchema-instance" xsi:type="dcterms:W3CDTF">2026-10-18T17:44:30Z</dcterms:modified>
</cp:coreProperties>
</file>